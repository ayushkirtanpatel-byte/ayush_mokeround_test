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" sheetId="1" state="visible" r:id="rId3"/>
    <sheet name="Lookup" sheetId="2" state="visible" r:id="rId4"/>
    <sheet name="Clean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<sst xmlns="http://schemas.openxmlformats.org/spreadsheetml/2006/main" count="126" uniqueCount="39">
  <si>
    <t xml:space="preserve">ticket_id</t>
  </si>
  <si>
    <t xml:space="preserve">month</t>
  </si>
  <si>
    <t xml:space="preserve">team_id</t>
  </si>
  <si>
    <t xml:space="preserve">channel</t>
  </si>
  <si>
    <t xml:space="preserve">resolution_hours</t>
  </si>
  <si>
    <t xml:space="preserve">satisfaction</t>
  </si>
  <si>
    <t xml:space="preserve">Before row count (raw)</t>
  </si>
  <si>
    <t xml:space="preserve">Jan</t>
  </si>
  <si>
    <t xml:space="preserve">T1</t>
  </si>
  <si>
    <t xml:space="preserve">Email</t>
  </si>
  <si>
    <t xml:space="preserve">Note</t>
  </si>
  <si>
    <t xml:space="preserve">Row 14 (ticket_id 12) is the intentional exact duplicate — removed in Clean sheet.</t>
  </si>
  <si>
    <t xml:space="preserve">T2</t>
  </si>
  <si>
    <t xml:space="preserve">Chat</t>
  </si>
  <si>
    <t xml:space="preserve">T3</t>
  </si>
  <si>
    <t xml:space="preserve">Phone</t>
  </si>
  <si>
    <t xml:space="preserve">T4</t>
  </si>
  <si>
    <t xml:space="preserve">Feb</t>
  </si>
  <si>
    <t xml:space="preserve">Mar</t>
  </si>
  <si>
    <t xml:space="preserve">team</t>
  </si>
  <si>
    <t xml:space="preserve">department</t>
  </si>
  <si>
    <t xml:space="preserve">AccountCare</t>
  </si>
  <si>
    <t xml:space="preserve">Service</t>
  </si>
  <si>
    <t xml:space="preserve">BillingHelp</t>
  </si>
  <si>
    <t xml:space="preserve">AppSupport</t>
  </si>
  <si>
    <t xml:space="preserve">Technical</t>
  </si>
  <si>
    <t xml:space="preserve">DeviceHelp</t>
  </si>
  <si>
    <t xml:space="preserve">breach_flag</t>
  </si>
  <si>
    <t xml:space="preserve">Before row count (Raw)</t>
  </si>
  <si>
    <t xml:space="preserve">After row count (Clean, deduplicated)</t>
  </si>
  <si>
    <t xml:space="preserve">Breached Tickets by Channel (COUNTIFS)</t>
  </si>
  <si>
    <t xml:space="preserve">Channel</t>
  </si>
  <si>
    <t xml:space="preserve">Breached Ticket Count</t>
  </si>
  <si>
    <t xml:space="preserve">Grand Total Breaches</t>
  </si>
  <si>
    <t xml:space="preserve">Overall SLA Breach Rate</t>
  </si>
  <si>
    <t xml:space="preserve">Average Resolution Hours by Department and Month (Jan -&gt; Feb -&gt; Mar)</t>
  </si>
  <si>
    <t xml:space="preserve">Department</t>
  </si>
  <si>
    <t xml:space="preserve">Overall Avg</t>
  </si>
  <si>
    <t xml:space="preserve">Overall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</si>
</sst>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"/>
    <numFmt numFmtId="167" formatCode="0.00%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Resolution Hours by Department and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Summary!B11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Summary!$A$12:$A$13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Summary!$B$12:$B$13</c:f>
              <c:numCache>
                <c:formatCode>0.00</c:formatCode>
                <c:ptCount val="2"/>
                <c:pt idx="0">
                  <c:v>20</c:v>
                </c:pt>
                <c:pt idx="1">
                  <c:v>28</c:v>
                </c:pt>
              </c:numCache>
            </c:numRef>
          </c:val>
        </c:ser>
        <c:ser>
          <c:idx val="1"/>
          <c:order val="1"/>
          <c:tx>
            <c:strRef>
              <c:f>Summary!C11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Summary!$A$12:$A$13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Summary!$C$12:$C$13</c:f>
              <c:numCache>
                <c:formatCode>0.00</c:formatCode>
                <c:ptCount val="2"/>
                <c:pt idx="0">
                  <c:v>19</c:v>
                </c:pt>
                <c:pt idx="1">
                  <c:v>29</c:v>
                </c:pt>
              </c:numCache>
            </c:numRef>
          </c:val>
        </c:ser>
        <c:ser>
          <c:idx val="2"/>
          <c:order val="2"/>
          <c:tx>
            <c:strRef>
              <c:f>Summary!D11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Summary!$A$12:$A$13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Summary!$D$12:$D$13</c:f>
              <c:numCache>
                <c:formatCode>0.00</c:formatCode>
                <c:ptCount val="2"/>
                <c:pt idx="0">
                  <c:v>19</c:v>
                </c:pt>
                <c:pt idx="1">
                  <c:v>28</c:v>
                </c:pt>
              </c:numCache>
            </c:numRef>
          </c:val>
        </c:ser>
        <c:gapWidth val="150"/>
        <c:overlap val="0"/>
        <c:axId val="98694428"/>
        <c:axId val="86118941"/>
      </c:barChart>
      <c:catAx>
        <c:axId val="986944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18941"/>
        <c:crosses val="autoZero"/>
        <c:auto val="1"/>
        <c:lblAlgn val="ctr"/>
        <c:lblOffset val="100"/>
        <c:noMultiLvlLbl val="0"/>
      </c:catAx>
      <c:valAx>
        <c:axId val="861189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Resolution 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944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5</xdr:col>
      <xdr:colOff>120960</xdr:colOff>
      <xdr:row>33</xdr:row>
      <xdr:rowOff>1080</xdr:rowOff>
    </xdr:to>
    <xdr:graphicFrame>
      <xdr:nvGraphicFramePr>
        <xdr:cNvPr id="0" name="Chart 1"/>
        <xdr:cNvGraphicFramePr/>
      </xdr:nvGraphicFramePr>
      <xdr:xfrm>
        <a:off x="0" y="3048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  <col collapsed="false" customWidth="true" hidden="false" outlineLevel="0" max="8" min="8" style="0" width="24"/>
    <col collapsed="false" customWidth="true" hidden="false" outlineLevel="0" max="9" min="9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3" t="n">
        <f aca="false">COUNTA(A2:A14)</f>
        <v>13</v>
      </c>
    </row>
    <row r="2" customFormat="false" ht="15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n">
        <v>12</v>
      </c>
      <c r="F2" s="0" t="n">
        <v>4</v>
      </c>
      <c r="H2" s="2" t="s">
        <v>10</v>
      </c>
      <c r="I2" s="3" t="s">
        <v>11</v>
      </c>
    </row>
    <row r="3" customFormat="false" ht="15" hidden="false" customHeight="false" outlineLevel="0" collapsed="false">
      <c r="A3" s="0" t="n">
        <v>2</v>
      </c>
      <c r="B3" s="0" t="s">
        <v>7</v>
      </c>
      <c r="C3" s="0" t="s">
        <v>12</v>
      </c>
      <c r="D3" s="0" t="s">
        <v>13</v>
      </c>
      <c r="E3" s="0" t="n">
        <v>28</v>
      </c>
      <c r="F3" s="0" t="n">
        <v>3</v>
      </c>
    </row>
    <row r="4" customFormat="false" ht="15" hidden="false" customHeight="false" outlineLevel="0" collapsed="false">
      <c r="A4" s="0" t="n">
        <v>3</v>
      </c>
      <c r="B4" s="0" t="s">
        <v>7</v>
      </c>
      <c r="C4" s="0" t="s">
        <v>14</v>
      </c>
      <c r="D4" s="0" t="s">
        <v>15</v>
      </c>
      <c r="E4" s="0" t="n">
        <v>36</v>
      </c>
      <c r="F4" s="0" t="n">
        <v>2</v>
      </c>
    </row>
    <row r="5" customFormat="false" ht="15" hidden="false" customHeight="false" outlineLevel="0" collapsed="false">
      <c r="A5" s="0" t="n">
        <v>4</v>
      </c>
      <c r="B5" s="0" t="s">
        <v>7</v>
      </c>
      <c r="C5" s="0" t="s">
        <v>16</v>
      </c>
      <c r="D5" s="0" t="s">
        <v>9</v>
      </c>
      <c r="E5" s="0" t="n">
        <v>20</v>
      </c>
      <c r="F5" s="0" t="n">
        <v>4</v>
      </c>
    </row>
    <row r="6" customFormat="false" ht="15" hidden="false" customHeight="false" outlineLevel="0" collapsed="false">
      <c r="A6" s="0" t="n">
        <v>5</v>
      </c>
      <c r="B6" s="0" t="s">
        <v>17</v>
      </c>
      <c r="C6" s="0" t="s">
        <v>8</v>
      </c>
      <c r="D6" s="0" t="s">
        <v>13</v>
      </c>
      <c r="E6" s="0" t="n">
        <v>8</v>
      </c>
      <c r="F6" s="0" t="n">
        <v>5</v>
      </c>
    </row>
    <row r="7" customFormat="false" ht="15" hidden="false" customHeight="false" outlineLevel="0" collapsed="false">
      <c r="A7" s="0" t="n">
        <v>6</v>
      </c>
      <c r="B7" s="0" t="s">
        <v>17</v>
      </c>
      <c r="C7" s="0" t="s">
        <v>12</v>
      </c>
      <c r="D7" s="0" t="s">
        <v>15</v>
      </c>
      <c r="E7" s="0" t="n">
        <v>30</v>
      </c>
      <c r="F7" s="0" t="n">
        <v>3</v>
      </c>
    </row>
    <row r="8" customFormat="false" ht="15" hidden="false" customHeight="false" outlineLevel="0" collapsed="false">
      <c r="A8" s="0" t="n">
        <v>7</v>
      </c>
      <c r="B8" s="0" t="s">
        <v>17</v>
      </c>
      <c r="C8" s="0" t="s">
        <v>14</v>
      </c>
      <c r="D8" s="0" t="s">
        <v>9</v>
      </c>
      <c r="E8" s="0" t="n">
        <v>18</v>
      </c>
      <c r="F8" s="0" t="n">
        <v>4</v>
      </c>
    </row>
    <row r="9" customFormat="false" ht="15" hidden="false" customHeight="false" outlineLevel="0" collapsed="false">
      <c r="A9" s="0" t="n">
        <v>8</v>
      </c>
      <c r="B9" s="0" t="s">
        <v>17</v>
      </c>
      <c r="C9" s="0" t="s">
        <v>16</v>
      </c>
      <c r="D9" s="0" t="s">
        <v>13</v>
      </c>
      <c r="E9" s="0" t="n">
        <v>40</v>
      </c>
      <c r="F9" s="0" t="n">
        <v>2</v>
      </c>
    </row>
    <row r="10" customFormat="false" ht="15" hidden="false" customHeight="false" outlineLevel="0" collapsed="false">
      <c r="A10" s="0" t="n">
        <v>9</v>
      </c>
      <c r="B10" s="0" t="s">
        <v>18</v>
      </c>
      <c r="C10" s="0" t="s">
        <v>8</v>
      </c>
      <c r="D10" s="0" t="s">
        <v>15</v>
      </c>
      <c r="E10" s="0" t="n">
        <v>16</v>
      </c>
      <c r="F10" s="0" t="n">
        <v>4</v>
      </c>
    </row>
    <row r="11" customFormat="false" ht="15" hidden="false" customHeight="false" outlineLevel="0" collapsed="false">
      <c r="A11" s="0" t="n">
        <v>10</v>
      </c>
      <c r="B11" s="0" t="s">
        <v>18</v>
      </c>
      <c r="C11" s="0" t="s">
        <v>12</v>
      </c>
      <c r="D11" s="0" t="s">
        <v>9</v>
      </c>
      <c r="E11" s="0" t="n">
        <v>22</v>
      </c>
      <c r="F11" s="0" t="n">
        <v>4</v>
      </c>
    </row>
    <row r="12" customFormat="false" ht="15" hidden="false" customHeight="false" outlineLevel="0" collapsed="false">
      <c r="A12" s="0" t="n">
        <v>11</v>
      </c>
      <c r="B12" s="0" t="s">
        <v>18</v>
      </c>
      <c r="C12" s="0" t="s">
        <v>14</v>
      </c>
      <c r="D12" s="0" t="s">
        <v>13</v>
      </c>
      <c r="E12" s="0" t="n">
        <v>32</v>
      </c>
      <c r="F12" s="0" t="n">
        <v>3</v>
      </c>
    </row>
    <row r="13" customFormat="false" ht="15" hidden="false" customHeight="false" outlineLevel="0" collapsed="false">
      <c r="A13" s="0" t="n">
        <v>12</v>
      </c>
      <c r="B13" s="0" t="s">
        <v>18</v>
      </c>
      <c r="C13" s="0" t="s">
        <v>16</v>
      </c>
      <c r="D13" s="0" t="s">
        <v>15</v>
      </c>
      <c r="E13" s="0" t="n">
        <v>24</v>
      </c>
      <c r="F13" s="0" t="n">
        <v>5</v>
      </c>
    </row>
    <row r="14" customFormat="false" ht="15" hidden="false" customHeight="false" outlineLevel="0" collapsed="false">
      <c r="A14" s="0" t="n">
        <v>12</v>
      </c>
      <c r="B14" s="0" t="s">
        <v>18</v>
      </c>
      <c r="C14" s="0" t="s">
        <v>16</v>
      </c>
      <c r="D14" s="0" t="s">
        <v>15</v>
      </c>
      <c r="E14" s="0" t="n">
        <v>24</v>
      </c>
      <c r="F14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</cols>
  <sheetData>
    <row r="1" customFormat="false" ht="15" hidden="false" customHeight="false" outlineLevel="0" collapsed="false">
      <c r="A1" s="1" t="s">
        <v>2</v>
      </c>
      <c r="B1" s="1" t="s">
        <v>19</v>
      </c>
      <c r="C1" s="1" t="s">
        <v>20</v>
      </c>
    </row>
    <row r="2" customFormat="false" ht="15" hidden="false" customHeight="false" outlineLevel="0" collapsed="false">
      <c r="A2" s="0" t="s">
        <v>8</v>
      </c>
      <c r="B2" s="0" t="s">
        <v>21</v>
      </c>
      <c r="C2" s="0" t="s">
        <v>22</v>
      </c>
    </row>
    <row r="3" customFormat="false" ht="15" hidden="false" customHeight="false" outlineLevel="0" collapsed="false">
      <c r="A3" s="0" t="s">
        <v>12</v>
      </c>
      <c r="B3" s="0" t="s">
        <v>23</v>
      </c>
      <c r="C3" s="0" t="s">
        <v>22</v>
      </c>
    </row>
    <row r="4" customFormat="false" ht="15" hidden="false" customHeight="false" outlineLevel="0" collapsed="false">
      <c r="A4" s="0" t="s">
        <v>14</v>
      </c>
      <c r="B4" s="0" t="s">
        <v>24</v>
      </c>
      <c r="C4" s="0" t="s">
        <v>25</v>
      </c>
    </row>
    <row r="5" customFormat="false" ht="15" hidden="false" customHeight="false" outlineLevel="0" collapsed="false">
      <c r="A5" s="0" t="s">
        <v>16</v>
      </c>
      <c r="B5" s="0" t="s">
        <v>26</v>
      </c>
      <c r="C5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  <col collapsed="false" customWidth="true" hidden="false" outlineLevel="0" max="10" min="10" style="0" width="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27</v>
      </c>
      <c r="J1" s="2" t="s">
        <v>28</v>
      </c>
      <c r="K1" s="3" t="n">
        <f aca="false">COUNTA(Raw!A2:A14)</f>
        <v>13</v>
      </c>
    </row>
    <row r="2" customFormat="false" ht="15" hidden="false" customHeight="false" outlineLevel="0" collapsed="false">
      <c r="A2" s="4" t="n">
        <v>1</v>
      </c>
      <c r="B2" s="3" t="s">
        <v>7</v>
      </c>
      <c r="C2" s="3" t="s">
        <v>8</v>
      </c>
      <c r="D2" s="3" t="s">
        <v>9</v>
      </c>
      <c r="E2" s="4" t="n">
        <v>12</v>
      </c>
      <c r="F2" s="4" t="n">
        <v>4</v>
      </c>
      <c r="G2" s="0" t="str">
        <f aca="false">INDEX(Lookup!$C$2:$C$5,MATCH(C2,Lookup!$A$2:$A$5,0))</f>
        <v>Service</v>
      </c>
      <c r="H2" s="4" t="n">
        <f aca="false">IF(E2&gt;24,1,0)</f>
        <v>0</v>
      </c>
      <c r="J2" s="2" t="s">
        <v>29</v>
      </c>
      <c r="K2" s="3" t="n">
        <f aca="false">COUNTA(A2:A13)</f>
        <v>12</v>
      </c>
    </row>
    <row r="3" customFormat="false" ht="15" hidden="false" customHeight="false" outlineLevel="0" collapsed="false">
      <c r="A3" s="4" t="n">
        <v>2</v>
      </c>
      <c r="B3" s="3" t="s">
        <v>7</v>
      </c>
      <c r="C3" s="3" t="s">
        <v>12</v>
      </c>
      <c r="D3" s="3" t="s">
        <v>13</v>
      </c>
      <c r="E3" s="4" t="n">
        <v>28</v>
      </c>
      <c r="F3" s="4" t="n">
        <v>3</v>
      </c>
      <c r="G3" s="0" t="str">
        <f aca="false">INDEX(Lookup!$C$2:$C$5,MATCH(C3,Lookup!$A$2:$A$5,0))</f>
        <v>Service</v>
      </c>
      <c r="H3" s="4" t="n">
        <f aca="false">IF(E3&gt;24,1,0)</f>
        <v>1</v>
      </c>
    </row>
    <row r="4" customFormat="false" ht="15" hidden="false" customHeight="false" outlineLevel="0" collapsed="false">
      <c r="A4" s="4" t="n">
        <v>3</v>
      </c>
      <c r="B4" s="3" t="s">
        <v>7</v>
      </c>
      <c r="C4" s="3" t="s">
        <v>14</v>
      </c>
      <c r="D4" s="3" t="s">
        <v>15</v>
      </c>
      <c r="E4" s="4" t="n">
        <v>36</v>
      </c>
      <c r="F4" s="4" t="n">
        <v>2</v>
      </c>
      <c r="G4" s="0" t="str">
        <f aca="false">INDEX(Lookup!$C$2:$C$5,MATCH(C4,Lookup!$A$2:$A$5,0))</f>
        <v>Technical</v>
      </c>
      <c r="H4" s="4" t="n">
        <f aca="false">IF(E4&gt;24,1,0)</f>
        <v>1</v>
      </c>
    </row>
    <row r="5" customFormat="false" ht="15" hidden="false" customHeight="false" outlineLevel="0" collapsed="false">
      <c r="A5" s="4" t="n">
        <v>4</v>
      </c>
      <c r="B5" s="3" t="s">
        <v>7</v>
      </c>
      <c r="C5" s="3" t="s">
        <v>16</v>
      </c>
      <c r="D5" s="3" t="s">
        <v>9</v>
      </c>
      <c r="E5" s="4" t="n">
        <v>20</v>
      </c>
      <c r="F5" s="4" t="n">
        <v>4</v>
      </c>
      <c r="G5" s="0" t="str">
        <f aca="false">INDEX(Lookup!$C$2:$C$5,MATCH(C5,Lookup!$A$2:$A$5,0))</f>
        <v>Technical</v>
      </c>
      <c r="H5" s="4" t="n">
        <f aca="false">IF(E5&gt;24,1,0)</f>
        <v>0</v>
      </c>
    </row>
    <row r="6" customFormat="false" ht="15" hidden="false" customHeight="false" outlineLevel="0" collapsed="false">
      <c r="A6" s="4" t="n">
        <v>5</v>
      </c>
      <c r="B6" s="3" t="s">
        <v>17</v>
      </c>
      <c r="C6" s="3" t="s">
        <v>8</v>
      </c>
      <c r="D6" s="3" t="s">
        <v>13</v>
      </c>
      <c r="E6" s="4" t="n">
        <v>8</v>
      </c>
      <c r="F6" s="4" t="n">
        <v>5</v>
      </c>
      <c r="G6" s="0" t="str">
        <f aca="false">INDEX(Lookup!$C$2:$C$5,MATCH(C6,Lookup!$A$2:$A$5,0))</f>
        <v>Service</v>
      </c>
      <c r="H6" s="4" t="n">
        <f aca="false">IF(E6&gt;24,1,0)</f>
        <v>0</v>
      </c>
    </row>
    <row r="7" customFormat="false" ht="15" hidden="false" customHeight="false" outlineLevel="0" collapsed="false">
      <c r="A7" s="4" t="n">
        <v>6</v>
      </c>
      <c r="B7" s="3" t="s">
        <v>17</v>
      </c>
      <c r="C7" s="3" t="s">
        <v>12</v>
      </c>
      <c r="D7" s="3" t="s">
        <v>15</v>
      </c>
      <c r="E7" s="4" t="n">
        <v>30</v>
      </c>
      <c r="F7" s="4" t="n">
        <v>3</v>
      </c>
      <c r="G7" s="0" t="str">
        <f aca="false">INDEX(Lookup!$C$2:$C$5,MATCH(C7,Lookup!$A$2:$A$5,0))</f>
        <v>Service</v>
      </c>
      <c r="H7" s="4" t="n">
        <f aca="false">IF(E7&gt;24,1,0)</f>
        <v>1</v>
      </c>
    </row>
    <row r="8" customFormat="false" ht="15" hidden="false" customHeight="false" outlineLevel="0" collapsed="false">
      <c r="A8" s="4" t="n">
        <v>7</v>
      </c>
      <c r="B8" s="3" t="s">
        <v>17</v>
      </c>
      <c r="C8" s="3" t="s">
        <v>14</v>
      </c>
      <c r="D8" s="3" t="s">
        <v>9</v>
      </c>
      <c r="E8" s="4" t="n">
        <v>18</v>
      </c>
      <c r="F8" s="4" t="n">
        <v>4</v>
      </c>
      <c r="G8" s="0" t="str">
        <f aca="false">INDEX(Lookup!$C$2:$C$5,MATCH(C8,Lookup!$A$2:$A$5,0))</f>
        <v>Technical</v>
      </c>
      <c r="H8" s="4" t="n">
        <f aca="false">IF(E8&gt;24,1,0)</f>
        <v>0</v>
      </c>
    </row>
    <row r="9" customFormat="false" ht="15" hidden="false" customHeight="false" outlineLevel="0" collapsed="false">
      <c r="A9" s="4" t="n">
        <v>8</v>
      </c>
      <c r="B9" s="3" t="s">
        <v>17</v>
      </c>
      <c r="C9" s="3" t="s">
        <v>16</v>
      </c>
      <c r="D9" s="3" t="s">
        <v>13</v>
      </c>
      <c r="E9" s="4" t="n">
        <v>40</v>
      </c>
      <c r="F9" s="4" t="n">
        <v>2</v>
      </c>
      <c r="G9" s="0" t="str">
        <f aca="false">INDEX(Lookup!$C$2:$C$5,MATCH(C9,Lookup!$A$2:$A$5,0))</f>
        <v>Technical</v>
      </c>
      <c r="H9" s="4" t="n">
        <f aca="false">IF(E9&gt;24,1,0)</f>
        <v>1</v>
      </c>
    </row>
    <row r="10" customFormat="false" ht="15" hidden="false" customHeight="false" outlineLevel="0" collapsed="false">
      <c r="A10" s="4" t="n">
        <v>9</v>
      </c>
      <c r="B10" s="3" t="s">
        <v>18</v>
      </c>
      <c r="C10" s="3" t="s">
        <v>8</v>
      </c>
      <c r="D10" s="3" t="s">
        <v>15</v>
      </c>
      <c r="E10" s="4" t="n">
        <v>16</v>
      </c>
      <c r="F10" s="4" t="n">
        <v>4</v>
      </c>
      <c r="G10" s="0" t="str">
        <f aca="false">INDEX(Lookup!$C$2:$C$5,MATCH(C10,Lookup!$A$2:$A$5,0))</f>
        <v>Service</v>
      </c>
      <c r="H10" s="4" t="n">
        <f aca="false">IF(E10&gt;24,1,0)</f>
        <v>0</v>
      </c>
    </row>
    <row r="11" customFormat="false" ht="15" hidden="false" customHeight="false" outlineLevel="0" collapsed="false">
      <c r="A11" s="4" t="n">
        <v>10</v>
      </c>
      <c r="B11" s="3" t="s">
        <v>18</v>
      </c>
      <c r="C11" s="3" t="s">
        <v>12</v>
      </c>
      <c r="D11" s="3" t="s">
        <v>9</v>
      </c>
      <c r="E11" s="4" t="n">
        <v>22</v>
      </c>
      <c r="F11" s="4" t="n">
        <v>4</v>
      </c>
      <c r="G11" s="0" t="str">
        <f aca="false">INDEX(Lookup!$C$2:$C$5,MATCH(C11,Lookup!$A$2:$A$5,0))</f>
        <v>Service</v>
      </c>
      <c r="H11" s="4" t="n">
        <f aca="false">IF(E11&gt;24,1,0)</f>
        <v>0</v>
      </c>
    </row>
    <row r="12" customFormat="false" ht="15" hidden="false" customHeight="false" outlineLevel="0" collapsed="false">
      <c r="A12" s="4" t="n">
        <v>11</v>
      </c>
      <c r="B12" s="3" t="s">
        <v>18</v>
      </c>
      <c r="C12" s="3" t="s">
        <v>14</v>
      </c>
      <c r="D12" s="3" t="s">
        <v>13</v>
      </c>
      <c r="E12" s="4" t="n">
        <v>32</v>
      </c>
      <c r="F12" s="4" t="n">
        <v>3</v>
      </c>
      <c r="G12" s="0" t="str">
        <f aca="false">INDEX(Lookup!$C$2:$C$5,MATCH(C12,Lookup!$A$2:$A$5,0))</f>
        <v>Technical</v>
      </c>
      <c r="H12" s="4" t="n">
        <f aca="false">IF(E12&gt;24,1,0)</f>
        <v>1</v>
      </c>
    </row>
    <row r="13" customFormat="false" ht="15" hidden="false" customHeight="false" outlineLevel="0" collapsed="false">
      <c r="A13" s="4" t="n">
        <v>12</v>
      </c>
      <c r="B13" s="3" t="s">
        <v>18</v>
      </c>
      <c r="C13" s="3" t="s">
        <v>16</v>
      </c>
      <c r="D13" s="3" t="s">
        <v>15</v>
      </c>
      <c r="E13" s="4" t="n">
        <v>24</v>
      </c>
      <c r="F13" s="4" t="n">
        <v>5</v>
      </c>
      <c r="G13" s="0" t="str">
        <f aca="false">INDEX(Lookup!$C$2:$C$5,MATCH(C13,Lookup!$A$2:$A$5,0))</f>
        <v>Technical</v>
      </c>
      <c r="H13" s="4" t="n">
        <f aca="false">IF(E13&gt;24,1,0)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5" hidden="false" customHeight="false" outlineLevel="0" collapsed="false">
      <c r="A1" s="5" t="s">
        <v>30</v>
      </c>
    </row>
    <row r="2" customFormat="false" ht="15" hidden="false" customHeight="false" outlineLevel="0" collapsed="false">
      <c r="A2" s="1" t="s">
        <v>31</v>
      </c>
      <c r="B2" s="1" t="s">
        <v>32</v>
      </c>
    </row>
    <row r="3" customFormat="false" ht="15" hidden="false" customHeight="false" outlineLevel="0" collapsed="false">
      <c r="A3" s="0" t="s">
        <v>9</v>
      </c>
      <c r="B3" s="0" t="n">
        <f aca="false">COUNTIFS(Clean!$D$2:$D$13,A3,Clean!$H$2:$H$13,1)</f>
        <v>0</v>
      </c>
    </row>
    <row r="4" customFormat="false" ht="15" hidden="false" customHeight="false" outlineLevel="0" collapsed="false">
      <c r="A4" s="0" t="s">
        <v>13</v>
      </c>
      <c r="B4" s="0" t="n">
        <f aca="false">COUNTIFS(Clean!$D$2:$D$13,A4,Clean!$H$2:$H$13,1)</f>
        <v>3</v>
      </c>
    </row>
    <row r="5" customFormat="false" ht="15" hidden="false" customHeight="false" outlineLevel="0" collapsed="false">
      <c r="A5" s="0" t="s">
        <v>15</v>
      </c>
      <c r="B5" s="0" t="n">
        <f aca="false">COUNTIFS(Clean!$D$2:$D$13,A5,Clean!$H$2:$H$13,1)</f>
        <v>2</v>
      </c>
    </row>
    <row r="6" customFormat="false" ht="15" hidden="false" customHeight="false" outlineLevel="0" collapsed="false">
      <c r="A6" s="2" t="s">
        <v>33</v>
      </c>
      <c r="B6" s="2" t="n">
        <f aca="false">SUM(B3:B5)</f>
        <v>5</v>
      </c>
    </row>
    <row r="7" customFormat="false" ht="15" hidden="false" customHeight="false" outlineLevel="0" collapsed="false">
      <c r="A7" s="2" t="s">
        <v>34</v>
      </c>
      <c r="B7" s="6" t="n">
        <f aca="false">B6/COUNTA(Clean!A2:A13)</f>
        <v>0.416666666666667</v>
      </c>
    </row>
    <row r="10" customFormat="false" ht="15" hidden="false" customHeight="false" outlineLevel="0" collapsed="false">
      <c r="A10" s="5" t="s">
        <v>35</v>
      </c>
    </row>
    <row r="11" customFormat="false" ht="15" hidden="false" customHeight="false" outlineLevel="0" collapsed="false">
      <c r="A11" s="1" t="s">
        <v>36</v>
      </c>
      <c r="B11" s="1" t="s">
        <v>7</v>
      </c>
      <c r="C11" s="1" t="s">
        <v>17</v>
      </c>
      <c r="D11" s="1" t="s">
        <v>18</v>
      </c>
      <c r="E11" s="1" t="s">
        <v>37</v>
      </c>
    </row>
    <row r="12" customFormat="false" ht="15" hidden="false" customHeight="false" outlineLevel="0" collapsed="false">
      <c r="A12" s="0" t="s">
        <v>22</v>
      </c>
      <c r="B12" s="7" t="n">
        <f aca="false">AVERAGEIFS(Clean!$E$2:$E$13,Clean!$G$2:$G$13,$A12,Clean!$B$2:$B$13,B$11)</f>
        <v>20</v>
      </c>
      <c r="C12" s="7" t="n">
        <f aca="false">AVERAGEIFS(Clean!$E$2:$E$13,Clean!$G$2:$G$13,$A12,Clean!$B$2:$B$13,C$11)</f>
        <v>19</v>
      </c>
      <c r="D12" s="7" t="n">
        <f aca="false">AVERAGEIFS(Clean!$E$2:$E$13,Clean!$G$2:$G$13,$A12,Clean!$B$2:$B$13,D$11)</f>
        <v>19</v>
      </c>
      <c r="E12" s="7" t="n">
        <f aca="false">AVERAGEIFS(Clean!$E$2:$E$13,Clean!$G$2:$G$13,$A12)</f>
        <v>19.3333333333333</v>
      </c>
    </row>
    <row r="13" customFormat="false" ht="15" hidden="false" customHeight="false" outlineLevel="0" collapsed="false">
      <c r="A13" s="0" t="s">
        <v>25</v>
      </c>
      <c r="B13" s="7" t="n">
        <f aca="false">AVERAGEIFS(Clean!$E$2:$E$13,Clean!$G$2:$G$13,$A13,Clean!$B$2:$B$13,B$11)</f>
        <v>28</v>
      </c>
      <c r="C13" s="7" t="n">
        <f aca="false">AVERAGEIFS(Clean!$E$2:$E$13,Clean!$G$2:$G$13,$A13,Clean!$B$2:$B$13,C$11)</f>
        <v>29</v>
      </c>
      <c r="D13" s="7" t="n">
        <f aca="false">AVERAGEIFS(Clean!$E$2:$E$13,Clean!$G$2:$G$13,$A13,Clean!$B$2:$B$13,D$11)</f>
        <v>28</v>
      </c>
      <c r="E13" s="7" t="n">
        <f aca="false">AVERAGEIFS(Clean!$E$2:$E$13,Clean!$G$2:$G$13,$A13)</f>
        <v>28.3333333333333</v>
      </c>
    </row>
    <row r="14" customFormat="false" ht="15" hidden="false" customHeight="false" outlineLevel="0" collapsed="false">
      <c r="A14" s="2" t="s">
        <v>38</v>
      </c>
      <c r="B14" s="8" t="n">
        <f aca="false">AVERAGEIFS(Clean!$E$2:$E$13,Clean!$B$2:$B$13,"Jan")</f>
        <v>24</v>
      </c>
      <c r="C14" s="8" t="n">
        <f aca="false">AVERAGEIFS(Clean!$E$2:$E$13,Clean!$B$2:$B$13,"Feb")</f>
        <v>24</v>
      </c>
      <c r="D14" s="8" t="n">
        <f aca="false">AVERAGEIFS(Clean!$E$2:$E$13,Clean!$B$2:$B$13,"Mar")</f>
        <v>23.5</v>
      </c>
      <c r="E14" s="8" t="n">
        <f aca="false">AVERAGE(Clean!$E$2:$E$13)</f>
        <v>23.8333333333333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2026-09-24T11:03:00Z</dcterms:created>
  <dc:creator>openpyxl</dc:creator>
  <dc:description/>
  <dc:language>en-US</dc:language>
  <cp:lastModifiedBy/>
  <dcterms:modified xsi:type="dcterms:W3CDTF">2026-09-24T11:03:17Z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